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tephanDobri\OneDrive - Neil Squire Society\Documents\GitHub\3D-printed-educational-devices-kit\Key-Turner\Documentation\"/>
    </mc:Choice>
  </mc:AlternateContent>
  <xr:revisionPtr revIDLastSave="0" documentId="13_ncr:1_{B7315EEC-5420-4866-98AB-48853A373C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" l="1"/>
  <c r="I5" i="2"/>
  <c r="K8" i="2"/>
  <c r="K13" i="2" l="1"/>
  <c r="I13" i="2"/>
  <c r="K10" i="2"/>
  <c r="I10" i="2"/>
  <c r="L10" i="2" s="1"/>
  <c r="K9" i="2"/>
  <c r="K6" i="2" s="1"/>
  <c r="I9" i="2"/>
  <c r="L9" i="2" s="1"/>
  <c r="L8" i="2"/>
  <c r="L6" i="2" l="1"/>
  <c r="K11" i="2"/>
  <c r="K5" i="2" s="1"/>
  <c r="L13" i="2"/>
  <c r="L11" i="2" s="1"/>
  <c r="L5" i="2" s="1"/>
  <c r="I11" i="2"/>
</calcChain>
</file>

<file path=xl/sharedStrings.xml><?xml version="1.0" encoding="utf-8"?>
<sst xmlns="http://schemas.openxmlformats.org/spreadsheetml/2006/main" count="71" uniqueCount="49">
  <si>
    <t>Total filament (g)</t>
  </si>
  <si>
    <t>Link</t>
  </si>
  <si>
    <t>Part</t>
  </si>
  <si>
    <t>Description</t>
  </si>
  <si>
    <t>Commercial Parts</t>
  </si>
  <si>
    <t>ID</t>
  </si>
  <si>
    <t>Last Updated:</t>
  </si>
  <si>
    <t>Version:</t>
  </si>
  <si>
    <t>Device:</t>
  </si>
  <si>
    <t>Manufacturer</t>
  </si>
  <si>
    <t>Supplier</t>
  </si>
  <si>
    <t>QTY / PKG</t>
  </si>
  <si>
    <t>PKGs</t>
  </si>
  <si>
    <t>$/ PKG</t>
  </si>
  <si>
    <t>QTY / Device</t>
  </si>
  <si>
    <t>$ / Device</t>
  </si>
  <si>
    <t>Filament</t>
  </si>
  <si>
    <t>Color</t>
  </si>
  <si>
    <t>Any</t>
  </si>
  <si>
    <t>Filament Type</t>
  </si>
  <si>
    <t>PLA</t>
  </si>
  <si>
    <t>$ / kg</t>
  </si>
  <si>
    <t>3D Printed Parts</t>
  </si>
  <si>
    <t>Tools</t>
  </si>
  <si>
    <t>Total Mass</t>
  </si>
  <si>
    <t>Unit Cost</t>
  </si>
  <si>
    <t>Mass (g) / Part</t>
  </si>
  <si>
    <t>Build Cost</t>
  </si>
  <si>
    <t>Total Estimated Cost</t>
  </si>
  <si>
    <t>Alternatives</t>
  </si>
  <si>
    <t>Tool</t>
  </si>
  <si>
    <t>Key Turner</t>
  </si>
  <si>
    <t xml:space="preserve"> V1.0</t>
  </si>
  <si>
    <t>M4 hex nut</t>
  </si>
  <si>
    <t>M4 Washer</t>
  </si>
  <si>
    <t>Key_Turner.stl</t>
  </si>
  <si>
    <t>Key turner body</t>
  </si>
  <si>
    <t>#8-1/2" bolt</t>
  </si>
  <si>
    <t>M4 x 12 mm bolt</t>
  </si>
  <si>
    <t>#8 hex nut</t>
  </si>
  <si>
    <t>#8 washers</t>
  </si>
  <si>
    <t>https://www.homehardware.ca/en/5-pack-m4-x-12mm-zinc-plated-pan-head-machine-screws/p/2122013?srsltid=AfmBOoqVamL_jPM6vJr6lG82_48c2uedojm88KcRuxqk92tlzoqbw_n1</t>
  </si>
  <si>
    <t>https://www.homedepot.ca/product/paulin-m4-0-70-class-8-metric-hex-nut-din-934-zinc-plated/1000128515</t>
  </si>
  <si>
    <t>https://www.homedepot.ca/product/paulin-metric-flat-washers-4mm-20pcs/1001588032</t>
  </si>
  <si>
    <t>Screw driver</t>
  </si>
  <si>
    <t>Screwdriver that matches the head of the bolts purchased</t>
  </si>
  <si>
    <t>Wrench/pliers</t>
  </si>
  <si>
    <t>To hold the nut while tightening the bolt</t>
  </si>
  <si>
    <t>*Tools are only required when attaching the key to the key turner*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</si>
</sst>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Roboto Black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1" tint="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</borders>
  <cellStyleXfs count="12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3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0" fontId="0" fillId="0" borderId="4" xfId="0" applyBorder="1"/>
    <xf numFmtId="0" fontId="2" fillId="0" borderId="4" xfId="0" applyFont="1" applyBorder="1"/>
    <xf numFmtId="0" fontId="1" fillId="5" borderId="5" xfId="4" applyBorder="1"/>
    <xf numFmtId="0" fontId="1" fillId="5" borderId="0" xfId="4"/>
    <xf numFmtId="44" fontId="1" fillId="5" borderId="5" xfId="4" applyNumberFormat="1" applyBorder="1"/>
    <xf numFmtId="0" fontId="1" fillId="5" borderId="1" xfId="4" applyBorder="1"/>
    <xf numFmtId="44" fontId="1" fillId="4" borderId="2" xfId="3" applyNumberFormat="1" applyBorder="1"/>
    <xf numFmtId="44" fontId="1" fillId="12" borderId="1" xfId="11" applyNumberFormat="1" applyBorder="1"/>
    <xf numFmtId="0" fontId="1" fillId="12" borderId="1" xfId="11" applyBorder="1"/>
    <xf numFmtId="0" fontId="1" fillId="7" borderId="1" xfId="6" applyBorder="1"/>
    <xf numFmtId="0" fontId="1" fillId="4" borderId="2" xfId="3" applyBorder="1"/>
    <xf numFmtId="0" fontId="1" fillId="9" borderId="2" xfId="8" applyBorder="1"/>
    <xf numFmtId="0" fontId="1" fillId="6" borderId="2" xfId="5" applyBorder="1"/>
    <xf numFmtId="0" fontId="1" fillId="4" borderId="6" xfId="3" applyBorder="1"/>
    <xf numFmtId="44" fontId="1" fillId="4" borderId="6" xfId="3" applyNumberFormat="1" applyBorder="1"/>
    <xf numFmtId="0" fontId="1" fillId="11" borderId="6" xfId="10" applyBorder="1"/>
    <xf numFmtId="44" fontId="1" fillId="11" borderId="6" xfId="10" applyNumberFormat="1" applyBorder="1"/>
    <xf numFmtId="0" fontId="1" fillId="9" borderId="6" xfId="8" applyBorder="1"/>
    <xf numFmtId="0" fontId="1" fillId="10" borderId="7" xfId="9" applyBorder="1"/>
    <xf numFmtId="0" fontId="1" fillId="6" borderId="6" xfId="5" applyBorder="1"/>
    <xf numFmtId="0" fontId="1" fillId="12" borderId="9" xfId="11" applyBorder="1"/>
    <xf numFmtId="0" fontId="1" fillId="12" borderId="10" xfId="11" applyBorder="1"/>
    <xf numFmtId="44" fontId="1" fillId="12" borderId="10" xfId="11" applyNumberFormat="1" applyBorder="1"/>
    <xf numFmtId="0" fontId="1" fillId="12" borderId="11" xfId="11" applyBorder="1"/>
    <xf numFmtId="0" fontId="1" fillId="12" borderId="12" xfId="11" applyBorder="1"/>
    <xf numFmtId="0" fontId="1" fillId="10" borderId="9" xfId="9" applyBorder="1"/>
    <xf numFmtId="0" fontId="1" fillId="10" borderId="12" xfId="9" applyBorder="1"/>
    <xf numFmtId="0" fontId="1" fillId="9" borderId="8" xfId="8" applyBorder="1"/>
    <xf numFmtId="0" fontId="1" fillId="7" borderId="9" xfId="6" applyBorder="1"/>
    <xf numFmtId="0" fontId="1" fillId="7" borderId="14" xfId="6" applyBorder="1"/>
    <xf numFmtId="0" fontId="1" fillId="7" borderId="12" xfId="6" applyBorder="1"/>
    <xf numFmtId="0" fontId="2" fillId="5" borderId="5" xfId="4" applyFont="1" applyBorder="1"/>
    <xf numFmtId="0" fontId="2" fillId="12" borderId="1" xfId="11" applyFont="1" applyBorder="1"/>
    <xf numFmtId="0" fontId="2" fillId="10" borderId="1" xfId="9" applyFont="1" applyBorder="1"/>
    <xf numFmtId="0" fontId="2" fillId="7" borderId="13" xfId="6" applyFont="1" applyBorder="1"/>
    <xf numFmtId="0" fontId="5" fillId="0" borderId="0" xfId="0" applyFont="1"/>
    <xf numFmtId="0" fontId="5" fillId="8" borderId="3" xfId="7" applyFont="1" applyBorder="1"/>
    <xf numFmtId="0" fontId="6" fillId="2" borderId="0" xfId="1" applyFont="1"/>
    <xf numFmtId="0" fontId="5" fillId="0" borderId="4" xfId="0" applyFont="1" applyBorder="1"/>
    <xf numFmtId="44" fontId="5" fillId="8" borderId="5" xfId="7" applyNumberFormat="1" applyFont="1" applyBorder="1"/>
    <xf numFmtId="164" fontId="5" fillId="2" borderId="4" xfId="1" applyNumberFormat="1" applyFont="1" applyBorder="1"/>
    <xf numFmtId="0" fontId="1" fillId="3" borderId="3" xfId="2" applyBorder="1"/>
    <xf numFmtId="0" fontId="1" fillId="3" borderId="5" xfId="2" applyBorder="1"/>
    <xf numFmtId="44" fontId="1" fillId="5" borderId="1" xfId="4" applyNumberFormat="1" applyBorder="1"/>
    <xf numFmtId="0" fontId="1" fillId="10" borderId="1" xfId="9" applyBorder="1"/>
    <xf numFmtId="0" fontId="1" fillId="7" borderId="10" xfId="6" applyBorder="1"/>
    <xf numFmtId="0" fontId="1" fillId="7" borderId="11" xfId="6" applyBorder="1"/>
    <xf numFmtId="0" fontId="1" fillId="13" borderId="8" xfId="10" applyFill="1" applyBorder="1"/>
    <xf numFmtId="44" fontId="1" fillId="13" borderId="8" xfId="10" applyNumberFormat="1" applyFill="1" applyBorder="1"/>
    <xf numFmtId="0" fontId="0" fillId="13" borderId="4" xfId="0" applyFill="1" applyBorder="1"/>
    <xf numFmtId="0" fontId="4" fillId="0" borderId="0" xfId="0" applyFont="1" applyAlignment="1">
      <alignment horizontal="left"/>
    </xf>
    <xf numFmtId="14" fontId="0" fillId="0" borderId="4" xfId="0" applyNumberFormat="1" applyBorder="1"/>
    <xf numFmtId="0" fontId="1" fillId="10" borderId="10" xfId="9" applyBorder="1" applyAlignment="1">
      <alignment horizontal="center"/>
    </xf>
    <xf numFmtId="0" fontId="1" fillId="10" borderId="11" xfId="9" applyBorder="1" applyAlignment="1">
      <alignment horizontal="center"/>
    </xf>
    <xf numFmtId="0" fontId="2" fillId="10" borderId="9" xfId="9" applyFont="1" applyBorder="1" applyAlignment="1">
      <alignment horizontal="center"/>
    </xf>
  </cellXfs>
  <cellStyles count="12">
    <cellStyle name="20% - Accent2" xfId="3" builtinId="34"/>
    <cellStyle name="20% - Accent3" xfId="5" builtinId="38"/>
    <cellStyle name="20% - Accent4" xfId="8" builtinId="42"/>
    <cellStyle name="20% - Accent6" xfId="10" builtinId="50"/>
    <cellStyle name="40% - Accent2" xfId="4" builtinId="35"/>
    <cellStyle name="40% - Accent3" xfId="6" builtinId="39"/>
    <cellStyle name="40% - Accent4" xfId="9" builtinId="43"/>
    <cellStyle name="40% - Accent6" xfId="11" builtinId="51"/>
    <cellStyle name="60% - Accent1" xfId="2" builtinId="32"/>
    <cellStyle name="Accent2" xfId="1" builtinId="33"/>
    <cellStyle name="Accent4" xfId="7" builtinId="4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8AD1-7DB5-46E4-9BCF-A08DFBDA7B00}">
  <dimension ref="A1:N35"/>
  <sheetViews>
    <sheetView tabSelected="1" workbookViewId="0">
      <selection activeCell="H14" sqref="H14"/>
    </sheetView>
  </sheetViews>
  <sheetFormatPr defaultRowHeight="15" x14ac:dyDescent="0.25"/>
  <cols>
    <col min="1" max="1" width="19.28515625" customWidth="1"/>
    <col min="2" max="2" width="16.5703125" bestFit="1" customWidth="1"/>
    <col min="3" max="3" width="21.42578125" bestFit="1" customWidth="1"/>
    <col min="4" max="4" width="12.85546875" customWidth="1"/>
    <col min="5" max="5" width="13.140625" bestFit="1" customWidth="1"/>
    <col min="6" max="6" width="8.42578125" bestFit="1" customWidth="1"/>
    <col min="7" max="7" width="12.140625" bestFit="1" customWidth="1"/>
    <col min="8" max="8" width="13.7109375" bestFit="1" customWidth="1"/>
    <col min="9" max="9" width="15.85546875" customWidth="1"/>
    <col min="10" max="10" width="8" bestFit="1" customWidth="1"/>
    <col min="11" max="11" width="9.7109375" bestFit="1" customWidth="1"/>
    <col min="12" max="12" width="20.42578125" customWidth="1"/>
    <col min="13" max="13" width="17.28515625" customWidth="1"/>
    <col min="14" max="14" width="17.42578125" bestFit="1" customWidth="1"/>
  </cols>
  <sheetData>
    <row r="1" spans="1:14" ht="35.25" x14ac:dyDescent="0.5">
      <c r="A1" s="2" t="s">
        <v>8</v>
      </c>
      <c r="B1" s="53" t="s">
        <v>31</v>
      </c>
      <c r="C1" s="53"/>
      <c r="D1" s="53"/>
      <c r="E1" s="53"/>
      <c r="F1" s="53"/>
      <c r="G1" s="53"/>
      <c r="H1" s="53"/>
      <c r="I1" s="53"/>
      <c r="J1" s="53"/>
    </row>
    <row r="2" spans="1:14" x14ac:dyDescent="0.25">
      <c r="A2" s="1" t="s">
        <v>7</v>
      </c>
      <c r="B2" t="s">
        <v>32</v>
      </c>
    </row>
    <row r="3" spans="1:14" s="3" customFormat="1" ht="15.75" thickBot="1" x14ac:dyDescent="0.3">
      <c r="A3" s="4" t="s">
        <v>6</v>
      </c>
      <c r="B3" s="54">
        <v>46057</v>
      </c>
    </row>
    <row r="4" spans="1:14" x14ac:dyDescent="0.25">
      <c r="I4" s="44" t="s">
        <v>0</v>
      </c>
      <c r="J4" s="38"/>
      <c r="K4" s="39" t="s">
        <v>25</v>
      </c>
      <c r="L4" s="40" t="s">
        <v>28</v>
      </c>
      <c r="M4" t="s">
        <v>27</v>
      </c>
    </row>
    <row r="5" spans="1:14" s="3" customFormat="1" ht="15.75" thickBot="1" x14ac:dyDescent="0.3">
      <c r="C5" s="4"/>
      <c r="D5" s="4"/>
      <c r="E5" s="4"/>
      <c r="F5" s="4"/>
      <c r="I5" s="45">
        <f>SUM(H13:H13)</f>
        <v>12.44</v>
      </c>
      <c r="J5" s="41"/>
      <c r="K5" s="42">
        <f>K6+K11</f>
        <v>1.6859999999999999</v>
      </c>
      <c r="L5" s="43">
        <f>L6+L11</f>
        <v>8.4510000000000005</v>
      </c>
    </row>
    <row r="6" spans="1:14" ht="15.75" thickBot="1" x14ac:dyDescent="0.3">
      <c r="A6" s="5" t="s">
        <v>5</v>
      </c>
      <c r="B6" s="34" t="s">
        <v>4</v>
      </c>
      <c r="C6" s="6"/>
      <c r="D6" s="6"/>
      <c r="E6" s="6"/>
      <c r="F6" s="6"/>
      <c r="G6" s="6"/>
      <c r="H6" s="6"/>
      <c r="I6" s="6"/>
      <c r="J6" s="6"/>
      <c r="K6" s="46">
        <f>SUM(K8:K10)</f>
        <v>1.375</v>
      </c>
      <c r="L6" s="7">
        <f>SUM(L8:L10)</f>
        <v>8.14</v>
      </c>
      <c r="M6" s="6"/>
      <c r="N6" s="6"/>
    </row>
    <row r="7" spans="1:14" ht="15.75" thickBot="1" x14ac:dyDescent="0.3">
      <c r="A7" s="8"/>
      <c r="B7" s="8" t="s">
        <v>2</v>
      </c>
      <c r="C7" s="8" t="s">
        <v>3</v>
      </c>
      <c r="D7" s="8"/>
      <c r="E7" s="8" t="s">
        <v>9</v>
      </c>
      <c r="F7" s="8" t="s">
        <v>10</v>
      </c>
      <c r="G7" s="8" t="s">
        <v>14</v>
      </c>
      <c r="H7" s="8" t="s">
        <v>11</v>
      </c>
      <c r="I7" s="8" t="s">
        <v>12</v>
      </c>
      <c r="J7" s="8" t="s">
        <v>13</v>
      </c>
      <c r="K7" s="8" t="s">
        <v>15</v>
      </c>
      <c r="L7" s="8" t="s">
        <v>28</v>
      </c>
      <c r="M7" s="8"/>
      <c r="N7" s="8" t="s">
        <v>1</v>
      </c>
    </row>
    <row r="8" spans="1:14" x14ac:dyDescent="0.25">
      <c r="A8" s="16"/>
      <c r="B8" s="16"/>
      <c r="C8" s="16" t="s">
        <v>38</v>
      </c>
      <c r="D8" s="16"/>
      <c r="E8" s="16"/>
      <c r="F8" s="16"/>
      <c r="G8" s="16">
        <v>1</v>
      </c>
      <c r="H8" s="16">
        <v>5</v>
      </c>
      <c r="I8" s="13">
        <f t="shared" ref="I8:I10" si="0">IF(G8&gt;0,CEILING(G8/H8,1),0)</f>
        <v>1</v>
      </c>
      <c r="J8" s="17">
        <v>3.99</v>
      </c>
      <c r="K8" s="17">
        <f>IF(G8&gt;0,J8/H8*G8,0)</f>
        <v>0.79800000000000004</v>
      </c>
      <c r="L8" s="17">
        <f>I8*J8</f>
        <v>3.99</v>
      </c>
      <c r="M8" s="16"/>
      <c r="N8" s="16" t="s">
        <v>41</v>
      </c>
    </row>
    <row r="9" spans="1:14" x14ac:dyDescent="0.25">
      <c r="A9" s="13"/>
      <c r="B9" s="13"/>
      <c r="C9" s="13" t="s">
        <v>33</v>
      </c>
      <c r="D9" s="13"/>
      <c r="E9" s="13"/>
      <c r="F9" s="13"/>
      <c r="G9" s="13">
        <v>1</v>
      </c>
      <c r="H9" s="13">
        <v>1</v>
      </c>
      <c r="I9" s="13">
        <f t="shared" si="0"/>
        <v>1</v>
      </c>
      <c r="J9" s="9">
        <v>0.18</v>
      </c>
      <c r="K9" s="9">
        <f t="shared" ref="K9:K10" si="1">IF(G9&gt;0,J9/H9*G9,0)</f>
        <v>0.18</v>
      </c>
      <c r="L9" s="9">
        <f t="shared" ref="L9:L10" si="2">I9*J9</f>
        <v>0.18</v>
      </c>
      <c r="M9" s="13"/>
      <c r="N9" s="13" t="s">
        <v>42</v>
      </c>
    </row>
    <row r="10" spans="1:14" ht="15.75" thickBot="1" x14ac:dyDescent="0.3">
      <c r="A10" s="13"/>
      <c r="B10" s="13"/>
      <c r="C10" s="13" t="s">
        <v>34</v>
      </c>
      <c r="D10" s="13"/>
      <c r="E10" s="13"/>
      <c r="F10" s="13"/>
      <c r="G10" s="13">
        <v>2</v>
      </c>
      <c r="H10" s="13">
        <v>20</v>
      </c>
      <c r="I10" s="13">
        <f t="shared" si="0"/>
        <v>1</v>
      </c>
      <c r="J10" s="9">
        <v>3.97</v>
      </c>
      <c r="K10" s="9">
        <f t="shared" si="1"/>
        <v>0.39700000000000002</v>
      </c>
      <c r="L10" s="9">
        <f t="shared" si="2"/>
        <v>3.97</v>
      </c>
      <c r="M10" s="13"/>
      <c r="N10" s="13" t="s">
        <v>43</v>
      </c>
    </row>
    <row r="11" spans="1:14" ht="15.75" thickBot="1" x14ac:dyDescent="0.3">
      <c r="A11" s="23"/>
      <c r="B11" s="35" t="s">
        <v>22</v>
      </c>
      <c r="C11" s="24"/>
      <c r="D11" s="24"/>
      <c r="E11" s="24"/>
      <c r="F11" s="24"/>
      <c r="G11" s="24"/>
      <c r="H11" s="24"/>
      <c r="I11" s="11">
        <f>SUM(I13:I14)</f>
        <v>12.44</v>
      </c>
      <c r="J11" s="25"/>
      <c r="K11" s="10">
        <f>SUM(K13:K13)</f>
        <v>0.311</v>
      </c>
      <c r="L11" s="10">
        <f>SUM(L13:L13)</f>
        <v>0.311</v>
      </c>
      <c r="M11" s="24"/>
      <c r="N11" s="26"/>
    </row>
    <row r="12" spans="1:14" ht="15.75" thickBot="1" x14ac:dyDescent="0.3">
      <c r="A12" s="27"/>
      <c r="B12" s="11" t="s">
        <v>2</v>
      </c>
      <c r="C12" s="11" t="s">
        <v>3</v>
      </c>
      <c r="D12" s="11" t="s">
        <v>19</v>
      </c>
      <c r="E12" s="11" t="s">
        <v>16</v>
      </c>
      <c r="F12" s="11" t="s">
        <v>17</v>
      </c>
      <c r="G12" s="11" t="s">
        <v>14</v>
      </c>
      <c r="H12" s="11" t="s">
        <v>26</v>
      </c>
      <c r="I12" s="11" t="s">
        <v>24</v>
      </c>
      <c r="J12" s="11" t="s">
        <v>21</v>
      </c>
      <c r="K12" s="11" t="s">
        <v>15</v>
      </c>
      <c r="L12" s="11" t="s">
        <v>28</v>
      </c>
      <c r="M12" s="11"/>
      <c r="N12" s="11" t="s">
        <v>1</v>
      </c>
    </row>
    <row r="13" spans="1:14" x14ac:dyDescent="0.25">
      <c r="A13" s="18"/>
      <c r="B13" s="18" t="s">
        <v>35</v>
      </c>
      <c r="C13" s="18" t="s">
        <v>36</v>
      </c>
      <c r="D13" s="18" t="s">
        <v>20</v>
      </c>
      <c r="E13" s="18"/>
      <c r="F13" s="18" t="s">
        <v>18</v>
      </c>
      <c r="G13" s="18">
        <v>1</v>
      </c>
      <c r="H13" s="18">
        <v>12.44</v>
      </c>
      <c r="I13" s="18">
        <f>G13*H13</f>
        <v>12.44</v>
      </c>
      <c r="J13" s="19">
        <v>25</v>
      </c>
      <c r="K13" s="19">
        <f>IF(G13&gt;0,(J13/1000)*G13*H13,0)</f>
        <v>0.311</v>
      </c>
      <c r="L13" s="19">
        <f>K13</f>
        <v>0.311</v>
      </c>
      <c r="M13" s="18"/>
      <c r="N13" s="18"/>
    </row>
    <row r="14" spans="1:14" s="52" customFormat="1" ht="15.75" thickBot="1" x14ac:dyDescent="0.3">
      <c r="A14" s="50"/>
      <c r="B14" s="50"/>
      <c r="C14" s="50"/>
      <c r="D14" s="50"/>
      <c r="E14" s="50"/>
      <c r="F14" s="50"/>
      <c r="G14" s="50"/>
      <c r="H14" s="50"/>
      <c r="I14" s="50"/>
      <c r="J14" s="51"/>
      <c r="K14" s="51"/>
      <c r="L14" s="51"/>
      <c r="M14" s="50"/>
      <c r="N14" s="50"/>
    </row>
    <row r="15" spans="1:14" ht="15.75" thickBot="1" x14ac:dyDescent="0.3">
      <c r="A15" s="28"/>
      <c r="B15" s="36" t="s">
        <v>23</v>
      </c>
      <c r="C15" s="57" t="s">
        <v>48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6"/>
    </row>
    <row r="16" spans="1:14" ht="15.75" thickBot="1" x14ac:dyDescent="0.3">
      <c r="A16" s="29"/>
      <c r="B16" s="47" t="s">
        <v>30</v>
      </c>
      <c r="C16" s="47" t="s">
        <v>3</v>
      </c>
      <c r="D16" s="21"/>
      <c r="E16" s="47" t="s">
        <v>9</v>
      </c>
      <c r="F16" s="47" t="s">
        <v>10</v>
      </c>
      <c r="G16" s="21"/>
      <c r="H16" s="21"/>
      <c r="I16" s="21"/>
      <c r="J16" s="21"/>
      <c r="K16" s="21"/>
      <c r="L16" s="21"/>
      <c r="M16" s="21"/>
      <c r="N16" s="47" t="s">
        <v>1</v>
      </c>
    </row>
    <row r="17" spans="1:14" x14ac:dyDescent="0.25">
      <c r="A17" s="20"/>
      <c r="B17" s="20" t="s">
        <v>44</v>
      </c>
      <c r="C17" s="20" t="s">
        <v>45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14" x14ac:dyDescent="0.25">
      <c r="A18" s="14"/>
      <c r="B18" s="14" t="s">
        <v>46</v>
      </c>
      <c r="C18" s="14" t="s">
        <v>47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spans="1:14" ht="15.75" thickBot="1" x14ac:dyDescent="0.3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</row>
    <row r="23" spans="1:14" ht="15.75" thickBot="1" x14ac:dyDescent="0.3">
      <c r="A23" s="31"/>
      <c r="B23" s="37" t="s">
        <v>29</v>
      </c>
      <c r="C23" s="32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9"/>
    </row>
    <row r="24" spans="1:14" ht="15.75" thickBot="1" x14ac:dyDescent="0.3">
      <c r="A24" s="33"/>
      <c r="B24" s="12" t="s">
        <v>2</v>
      </c>
      <c r="C24" s="12" t="s">
        <v>3</v>
      </c>
      <c r="D24" s="12"/>
      <c r="E24" s="12" t="s">
        <v>9</v>
      </c>
      <c r="F24" s="12" t="s">
        <v>10</v>
      </c>
      <c r="G24" s="12" t="s">
        <v>14</v>
      </c>
      <c r="H24" s="12" t="s">
        <v>11</v>
      </c>
      <c r="I24" s="12" t="s">
        <v>12</v>
      </c>
      <c r="J24" s="12" t="s">
        <v>13</v>
      </c>
      <c r="K24" s="12" t="s">
        <v>15</v>
      </c>
      <c r="L24" s="12" t="s">
        <v>28</v>
      </c>
      <c r="M24" s="12"/>
      <c r="N24" s="12" t="s">
        <v>1</v>
      </c>
    </row>
    <row r="25" spans="1:14" x14ac:dyDescent="0.25">
      <c r="A25" s="22"/>
      <c r="B25" s="22"/>
      <c r="C25" s="22" t="s">
        <v>37</v>
      </c>
      <c r="D25" s="22"/>
      <c r="E25" s="22"/>
      <c r="F25" s="22"/>
      <c r="G25" s="22">
        <v>1</v>
      </c>
      <c r="H25" s="22"/>
      <c r="I25" s="22"/>
      <c r="J25" s="22"/>
      <c r="K25" s="22"/>
      <c r="L25" s="22"/>
      <c r="M25" s="22"/>
      <c r="N25" s="22"/>
    </row>
    <row r="26" spans="1:14" x14ac:dyDescent="0.25">
      <c r="A26" s="15"/>
      <c r="B26" s="15"/>
      <c r="C26" s="15" t="s">
        <v>39</v>
      </c>
      <c r="D26" s="15"/>
      <c r="E26" s="15"/>
      <c r="F26" s="15"/>
      <c r="G26" s="15">
        <v>1</v>
      </c>
      <c r="H26" s="15"/>
      <c r="I26" s="15"/>
      <c r="J26" s="15"/>
      <c r="K26" s="15"/>
      <c r="L26" s="15"/>
      <c r="M26" s="15"/>
      <c r="N26" s="15"/>
    </row>
    <row r="27" spans="1:14" x14ac:dyDescent="0.25">
      <c r="A27" s="15"/>
      <c r="B27" s="15"/>
      <c r="C27" s="15" t="s">
        <v>40</v>
      </c>
      <c r="D27" s="15"/>
      <c r="E27" s="15"/>
      <c r="F27" s="15"/>
      <c r="G27" s="15">
        <v>2</v>
      </c>
      <c r="H27" s="15"/>
      <c r="I27" s="15"/>
      <c r="J27" s="15"/>
      <c r="K27" s="15"/>
      <c r="L27" s="15"/>
      <c r="M27" s="15"/>
      <c r="N27" s="15"/>
    </row>
    <row r="28" spans="1:14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1:14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1:14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1:14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</sheetData>
  <mergeCells count="2">
    <mergeCell ref="B1:J1"/>
    <mergeCell ref="C15:N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EC7ECFAC78D4E8EF6CBAFFF0B3505" ma:contentTypeVersion="18" ma:contentTypeDescription="Create a new document." ma:contentTypeScope="" ma:versionID="c16a8de1b3ad07fcfe40131daee80152">
  <xsd:schema xmlns:xsd="http://www.w3.org/2001/XMLSchema" xmlns:xs="http://www.w3.org/2001/XMLSchema" xmlns:p="http://schemas.microsoft.com/office/2006/metadata/properties" xmlns:ns2="cf9f6c1f-8ad0-4eb8-bb2b-fb0b622a341e" xmlns:ns3="72c39c84-b0a3-45a2-a38c-ff46bb47f11f" targetNamespace="http://schemas.microsoft.com/office/2006/metadata/properties" ma:root="true" ma:fieldsID="85720a748046338a72a4f25fe522aa39" ns2:_="" ns3:_="">
    <xsd:import namespace="cf9f6c1f-8ad0-4eb8-bb2b-fb0b622a341e"/>
    <xsd:import namespace="72c39c84-b0a3-45a2-a38c-ff46bb47f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f6c1f-8ad0-4eb8-bb2b-fb0b622a34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6ec1fed-e6ae-4c84-a4ac-123136fd93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c39c84-b0a3-45a2-a38c-ff46bb47f11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0263d0-9f1a-4e63-a49c-f06b563fb00a}" ma:internalName="TaxCatchAll" ma:showField="CatchAllData" ma:web="72c39c84-b0a3-45a2-a38c-ff46bb47f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c39c84-b0a3-45a2-a38c-ff46bb47f11f" xsi:nil="true"/>
    <lcf76f155ced4ddcb4097134ff3c332f xmlns="cf9f6c1f-8ad0-4eb8-bb2b-fb0b622a341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40145F-09D2-466B-B9A2-2798696B0A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E754FF-A61B-4A88-B516-AC8192A9AA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9f6c1f-8ad0-4eb8-bb2b-fb0b622a341e"/>
    <ds:schemaRef ds:uri="72c39c84-b0a3-45a2-a38c-ff46bb47f1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958292-C6C4-482B-887A-6CF9FB19AB74}">
  <ds:schemaRefs>
    <ds:schemaRef ds:uri="http://schemas.microsoft.com/office/2006/metadata/properties"/>
    <ds:schemaRef ds:uri="http://schemas.microsoft.com/office/infopath/2007/PartnerControls"/>
    <ds:schemaRef ds:uri="72c39c84-b0a3-45a2-a38c-ff46bb47f11f"/>
    <ds:schemaRef ds:uri="cf9f6c1f-8ad0-4eb8-bb2b-fb0b622a3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MMC Co-op</dc:creator>
  <cp:keywords/>
  <dc:description/>
  <cp:lastModifiedBy>Stephan Dobri</cp:lastModifiedBy>
  <cp:revision/>
  <dcterms:created xsi:type="dcterms:W3CDTF">2021-04-20T01:54:08Z</dcterms:created>
  <dcterms:modified xsi:type="dcterms:W3CDTF">2026-02-05T00:55:48Z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0x010100456CAEA290209545A9F8681F83603874</vt:lpwstr>
  </property>
  <property fmtid="{D5CDD505-2E9C-101B-9397-08002B2CF9AE}" pid="3" name="MediaServiceImageTags">
    <vt:lpwstr/>
  </property>
</Properties>
</file>